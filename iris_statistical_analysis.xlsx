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2B655\EXCELCNV\d3beb256-15dc-45c1-9630-6b0e2f2ae3ac\"/>
    </mc:Choice>
  </mc:AlternateContent>
  <xr:revisionPtr revIDLastSave="0" documentId="8_{ACDD3A97-1E6D-4C3B-B3E1-3B812A6DDAD2}" xr6:coauthVersionLast="47" xr6:coauthVersionMax="47" xr10:uidLastSave="{00000000-0000-0000-0000-000000000000}"/>
  <bookViews>
    <workbookView xWindow="-60" yWindow="-60" windowWidth="15480" windowHeight="11640" xr2:uid="{B8D92634-C814-4B78-B53C-64E48038368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15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O5" i="1"/>
  <c r="Q5" i="1"/>
  <c r="P5" i="1"/>
  <c r="N5" i="1"/>
</calcChain>
</file>

<file path=xl/sharedStrings.xml><?xml version="1.0" encoding="utf-8"?>
<sst xmlns="http://schemas.openxmlformats.org/spreadsheetml/2006/main" count="171" uniqueCount="24">
  <si>
    <t>sepal_length</t>
  </si>
  <si>
    <t>sepal_width</t>
  </si>
  <si>
    <t>petal_length</t>
  </si>
  <si>
    <t>petal_width</t>
  </si>
  <si>
    <t>species</t>
  </si>
  <si>
    <t>setosa</t>
  </si>
  <si>
    <t>STATISTICAL DATA ANALYSIS TABLE</t>
  </si>
  <si>
    <t>Statistic</t>
  </si>
  <si>
    <t>Sepal Length</t>
  </si>
  <si>
    <t>Sepal Width</t>
  </si>
  <si>
    <t>Petal Length</t>
  </si>
  <si>
    <t>Petal Width</t>
  </si>
  <si>
    <t>Mean</t>
  </si>
  <si>
    <t>Median</t>
  </si>
  <si>
    <t>Mode</t>
  </si>
  <si>
    <t>Standard Deviation</t>
  </si>
  <si>
    <t>Variance</t>
  </si>
  <si>
    <t>CORRELATION ANALYSIS TABLE</t>
  </si>
  <si>
    <t>Variables</t>
  </si>
  <si>
    <t>Correlation</t>
  </si>
  <si>
    <t>Sepal length vs Petal length</t>
  </si>
  <si>
    <t>Petal length vs Petal width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</si>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</sst>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000000"/>
      <name val="Calibri Light"/>
      <scheme val="major"/>
    </font>
    <font>
      <b/>
      <sz val="2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/>
                <a:ea typeface="Calibri Light"/>
                <a:cs typeface="Calibri Light"/>
              </a:defRPr>
            </a:pPr>
            <a:r>
              <a:rPr lang="en-US"/>
              <a:t>Petal Length vs Petal Width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 Light"/>
              <a:ea typeface="Calibri Light"/>
              <a:cs typeface="Calibri Light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in!$D$1</c:f>
              <c:strCache>
                <c:ptCount val="1"/>
                <c:pt idx="0">
                  <c:v>petal_width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in!$C$2:$C$151</c:f>
              <c:numCache>
                <c:formatCode>General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4.9000000000000004</c:v>
                </c:pt>
                <c:pt idx="53">
                  <c:v>4</c:v>
                </c:pt>
                <c:pt idx="54">
                  <c:v>4.5999999999999996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4.5999999999999996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4.4000000000000004</c:v>
                </c:pt>
                <c:pt idx="66">
                  <c:v>4.5</c:v>
                </c:pt>
                <c:pt idx="67">
                  <c:v>4.0999999999999996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4.9000000000000004</c:v>
                </c:pt>
                <c:pt idx="73">
                  <c:v>4.7</c:v>
                </c:pt>
                <c:pt idx="74">
                  <c:v>4.3</c:v>
                </c:pt>
                <c:pt idx="75">
                  <c:v>4.4000000000000004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5.0999999999999996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4.4000000000000004</c:v>
                </c:pt>
                <c:pt idx="88">
                  <c:v>4.0999999999999996</c:v>
                </c:pt>
                <c:pt idx="89">
                  <c:v>4</c:v>
                </c:pt>
                <c:pt idx="90">
                  <c:v>4.4000000000000004</c:v>
                </c:pt>
                <c:pt idx="91">
                  <c:v>4.5999999999999996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4.0999999999999996</c:v>
                </c:pt>
                <c:pt idx="100">
                  <c:v>6</c:v>
                </c:pt>
                <c:pt idx="101">
                  <c:v>5.0999999999999996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5.0999999999999996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5.0999999999999996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4.9000000000000004</c:v>
                </c:pt>
                <c:pt idx="122">
                  <c:v>6.7</c:v>
                </c:pt>
                <c:pt idx="123">
                  <c:v>4.9000000000000004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4.9000000000000004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5.0999999999999996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5.0999999999999996</c:v>
                </c:pt>
                <c:pt idx="142">
                  <c:v>5.0999999999999996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5.0999999999999996</c:v>
                </c:pt>
              </c:numCache>
            </c:numRef>
          </c:xVal>
          <c:yVal>
            <c:numRef>
              <c:f>in!$D$2:$D$151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1.1000000000000001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1.1000000000000001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1.1000000000000001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2.2000000000000002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2.2999999999999998</c:v>
                </c:pt>
                <c:pt idx="116">
                  <c:v>1.8</c:v>
                </c:pt>
                <c:pt idx="117">
                  <c:v>2.2000000000000002</c:v>
                </c:pt>
                <c:pt idx="118">
                  <c:v>2.2999999999999998</c:v>
                </c:pt>
                <c:pt idx="119">
                  <c:v>1.5</c:v>
                </c:pt>
                <c:pt idx="120">
                  <c:v>2.2999999999999998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2.2000000000000002</c:v>
                </c:pt>
                <c:pt idx="133">
                  <c:v>1.5</c:v>
                </c:pt>
                <c:pt idx="134">
                  <c:v>1.4</c:v>
                </c:pt>
                <c:pt idx="135">
                  <c:v>2.2999999999999998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2.2999999999999998</c:v>
                </c:pt>
                <c:pt idx="142">
                  <c:v>1.9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2.2999999999999998</c:v>
                </c:pt>
                <c:pt idx="146">
                  <c:v>1.9</c:v>
                </c:pt>
                <c:pt idx="147">
                  <c:v>2</c:v>
                </c:pt>
                <c:pt idx="148">
                  <c:v>2.2999999999999998</c:v>
                </c:pt>
                <c:pt idx="14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3-4AC4-9708-6B34DB9AE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371144"/>
        <c:axId val="937373192"/>
      </c:scatterChart>
      <c:valAx>
        <c:axId val="937371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Petal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73192"/>
        <c:crosses val="autoZero"/>
        <c:crossBetween val="midCat"/>
      </c:valAx>
      <c:valAx>
        <c:axId val="93737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Petal 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71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</xdr:row>
      <xdr:rowOff>133350</xdr:rowOff>
    </xdr:from>
    <xdr:to>
      <xdr:col>11</xdr:col>
      <xdr:colOff>514350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910CF-1896-8893-2A63-30BFA3BF5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1DAB-48C7-4001-9EBD-53E1973CC520}">
  <dimension ref="A1:Q151"/>
  <sheetViews>
    <sheetView tabSelected="1" workbookViewId="0">
      <selection activeCell="L21" sqref="L21"/>
    </sheetView>
  </sheetViews>
  <sheetFormatPr defaultRowHeight="15"/>
  <cols>
    <col min="1" max="1" width="12" bestFit="1" customWidth="1"/>
    <col min="2" max="2" width="11.42578125" bestFit="1" customWidth="1"/>
    <col min="3" max="3" width="11.85546875" bestFit="1" customWidth="1"/>
    <col min="4" max="4" width="11.28515625" bestFit="1" customWidth="1"/>
    <col min="13" max="13" width="36.5703125" bestFit="1" customWidth="1"/>
    <col min="14" max="14" width="13.28515625" bestFit="1" customWidth="1"/>
    <col min="15" max="15" width="11.42578125" bestFit="1" customWidth="1"/>
    <col min="16" max="16" width="17.28515625" bestFit="1" customWidth="1"/>
    <col min="17" max="17" width="11.140625" bestFit="1" customWidth="1"/>
    <col min="20" max="20" width="13.28515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ht="31.5">
      <c r="A2">
        <v>5.0999999999999996</v>
      </c>
      <c r="B2">
        <v>3.5</v>
      </c>
      <c r="C2">
        <v>1.4</v>
      </c>
      <c r="D2">
        <v>0.2</v>
      </c>
      <c r="E2" t="s">
        <v>5</v>
      </c>
      <c r="M2" s="2" t="s">
        <v>6</v>
      </c>
      <c r="N2" s="2"/>
      <c r="O2" s="2"/>
      <c r="P2" s="2"/>
      <c r="Q2" s="1"/>
    </row>
    <row r="3" spans="1:17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17">
      <c r="A4">
        <v>4.7</v>
      </c>
      <c r="B4">
        <v>3.2</v>
      </c>
      <c r="C4">
        <v>1.3</v>
      </c>
      <c r="D4">
        <v>0.2</v>
      </c>
      <c r="E4" t="s">
        <v>5</v>
      </c>
      <c r="M4" t="s">
        <v>7</v>
      </c>
      <c r="N4" t="s">
        <v>8</v>
      </c>
      <c r="O4" t="s">
        <v>9</v>
      </c>
      <c r="P4" t="s">
        <v>10</v>
      </c>
      <c r="Q4" t="s">
        <v>11</v>
      </c>
    </row>
    <row r="5" spans="1:17">
      <c r="A5">
        <v>4.5999999999999996</v>
      </c>
      <c r="B5">
        <v>3.1</v>
      </c>
      <c r="C5">
        <v>1.5</v>
      </c>
      <c r="D5">
        <v>0.2</v>
      </c>
      <c r="E5" t="s">
        <v>5</v>
      </c>
      <c r="M5" t="s">
        <v>12</v>
      </c>
      <c r="N5">
        <f>AVERAGE(A2:A151)</f>
        <v>5.8433333333333346</v>
      </c>
      <c r="O5">
        <f>AVERAGE(B2:B151)</f>
        <v>3.0540000000000007</v>
      </c>
      <c r="P5">
        <f>AVERAGE(C2:C151)</f>
        <v>3.7586666666666693</v>
      </c>
      <c r="Q5">
        <f>AVERAGE(D2:D151)</f>
        <v>1.1986666666666672</v>
      </c>
    </row>
    <row r="6" spans="1:17">
      <c r="A6">
        <v>5</v>
      </c>
      <c r="B6">
        <v>3.6</v>
      </c>
      <c r="C6">
        <v>1.4</v>
      </c>
      <c r="D6">
        <v>0.2</v>
      </c>
      <c r="E6" t="s">
        <v>5</v>
      </c>
      <c r="M6" t="s">
        <v>13</v>
      </c>
      <c r="N6">
        <f>MEDIAN(A2:A151)</f>
        <v>5.8</v>
      </c>
      <c r="O6">
        <f>MEDIAN(B2:B151)</f>
        <v>3</v>
      </c>
      <c r="P6">
        <f>MEDIAN(C2:C151)</f>
        <v>4.3499999999999996</v>
      </c>
      <c r="Q6">
        <f>MEDIAN(D2:D151)</f>
        <v>1.3</v>
      </c>
    </row>
    <row r="7" spans="1:17">
      <c r="A7">
        <v>5.4</v>
      </c>
      <c r="B7">
        <v>3.9</v>
      </c>
      <c r="C7">
        <v>1.7</v>
      </c>
      <c r="D7">
        <v>0.4</v>
      </c>
      <c r="E7" t="s">
        <v>5</v>
      </c>
      <c r="M7" t="s">
        <v>14</v>
      </c>
      <c r="N7">
        <f>_xlfn.MODE.SNGL(A2:A151)</f>
        <v>5</v>
      </c>
      <c r="O7">
        <f>_xlfn.MODE.SNGL(B2:B151)</f>
        <v>3</v>
      </c>
      <c r="P7">
        <f>_xlfn.MODE.SNGL(C2:C151)</f>
        <v>1.5</v>
      </c>
      <c r="Q7">
        <f>_xlfn.MODE.SNGL(D2:D151)</f>
        <v>0.2</v>
      </c>
    </row>
    <row r="8" spans="1:17">
      <c r="A8">
        <v>4.5999999999999996</v>
      </c>
      <c r="B8">
        <v>3.4</v>
      </c>
      <c r="C8">
        <v>1.4</v>
      </c>
      <c r="D8">
        <v>0.3</v>
      </c>
      <c r="E8" t="s">
        <v>5</v>
      </c>
      <c r="M8" t="s">
        <v>15</v>
      </c>
      <c r="N8">
        <f>_xlfn.STDEV.S(A2:A151)</f>
        <v>0.82806612797784351</v>
      </c>
      <c r="O8">
        <f>_xlfn.STDEV.S(B2:B151)</f>
        <v>0.4335943113621597</v>
      </c>
      <c r="P8">
        <f>_xlfn.STDEV.S(C2:C151)</f>
        <v>1.764420419952258</v>
      </c>
      <c r="Q8">
        <f>_xlfn.STDEV.S(D2:D151)</f>
        <v>0.76316074170084081</v>
      </c>
    </row>
    <row r="9" spans="1:17">
      <c r="A9">
        <v>5</v>
      </c>
      <c r="B9">
        <v>3.4</v>
      </c>
      <c r="C9">
        <v>1.5</v>
      </c>
      <c r="D9">
        <v>0.2</v>
      </c>
      <c r="E9" t="s">
        <v>5</v>
      </c>
      <c r="M9" t="s">
        <v>16</v>
      </c>
      <c r="N9">
        <f>_xlfn.VAR.S(A2:A151)</f>
        <v>0.68569351230421827</v>
      </c>
      <c r="O9">
        <f>_xlfn.VAR.S(B2:B151)</f>
        <v>0.1880040268456255</v>
      </c>
      <c r="P9">
        <f>_xlfn.VAR.S(C2:C151)</f>
        <v>3.1131794183445023</v>
      </c>
      <c r="Q9">
        <f>_xlfn.VAR.S(D2:D151)</f>
        <v>0.58241431767337748</v>
      </c>
    </row>
    <row r="10" spans="1:17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17">
      <c r="A11">
        <v>4.9000000000000004</v>
      </c>
      <c r="B11">
        <v>3.1</v>
      </c>
      <c r="C11">
        <v>1.5</v>
      </c>
      <c r="D11">
        <v>0.1</v>
      </c>
      <c r="E11" t="s">
        <v>5</v>
      </c>
      <c r="M11" s="4"/>
      <c r="N11" s="4"/>
    </row>
    <row r="12" spans="1:17" ht="26.25" customHeight="1">
      <c r="A12">
        <v>5.4</v>
      </c>
      <c r="B12">
        <v>3.7</v>
      </c>
      <c r="C12">
        <v>1.5</v>
      </c>
      <c r="D12">
        <v>0.2</v>
      </c>
      <c r="E12" t="s">
        <v>5</v>
      </c>
      <c r="M12" s="3" t="s">
        <v>17</v>
      </c>
      <c r="N12" s="3"/>
    </row>
    <row r="13" spans="1:17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17">
      <c r="A14">
        <v>4.8</v>
      </c>
      <c r="B14">
        <v>3</v>
      </c>
      <c r="C14">
        <v>1.4</v>
      </c>
      <c r="D14">
        <v>0.1</v>
      </c>
      <c r="E14" t="s">
        <v>5</v>
      </c>
      <c r="M14" t="s">
        <v>18</v>
      </c>
      <c r="N14" t="s">
        <v>19</v>
      </c>
    </row>
    <row r="15" spans="1:17">
      <c r="A15">
        <v>4.3</v>
      </c>
      <c r="B15">
        <v>3</v>
      </c>
      <c r="C15">
        <v>1.1000000000000001</v>
      </c>
      <c r="D15">
        <v>0.1</v>
      </c>
      <c r="E15" t="s">
        <v>5</v>
      </c>
      <c r="M15" t="s">
        <v>20</v>
      </c>
      <c r="N15">
        <f>CORREL(A2:A151,C2:C151)</f>
        <v>0.87175415730487182</v>
      </c>
    </row>
    <row r="16" spans="1:17">
      <c r="A16">
        <v>5.8</v>
      </c>
      <c r="B16">
        <v>4</v>
      </c>
      <c r="C16">
        <v>1.2</v>
      </c>
      <c r="D16">
        <v>0.2</v>
      </c>
      <c r="E16" t="s">
        <v>5</v>
      </c>
      <c r="M16" t="s">
        <v>21</v>
      </c>
      <c r="N16">
        <f>CORREL(C2:C151,D2:D151)</f>
        <v>0.96275709705096668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22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22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22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22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22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22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22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22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22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22</v>
      </c>
    </row>
    <row r="62" spans="1:5">
      <c r="A62">
        <v>5</v>
      </c>
      <c r="B62">
        <v>2</v>
      </c>
      <c r="C62">
        <v>3.5</v>
      </c>
      <c r="D62">
        <v>1</v>
      </c>
      <c r="E62" t="s">
        <v>22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22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22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22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22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22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22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22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22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22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22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22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22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22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22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22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22</v>
      </c>
    </row>
    <row r="79" spans="1:5">
      <c r="A79">
        <v>6.7</v>
      </c>
      <c r="B79">
        <v>3</v>
      </c>
      <c r="C79">
        <v>5</v>
      </c>
      <c r="D79">
        <v>1.7</v>
      </c>
      <c r="E79" t="s">
        <v>22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22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22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22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22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22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22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22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22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22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22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22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22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22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22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22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22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22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22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22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22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22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22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23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23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23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23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23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23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23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23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23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23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23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23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23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23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23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23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23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23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23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23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23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23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23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23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23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23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23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23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23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23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23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23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23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23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23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23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23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23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23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23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23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23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23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23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23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23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23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23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23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23</v>
      </c>
    </row>
  </sheetData>
  <mergeCells count="3">
    <mergeCell ref="M2:P2"/>
    <mergeCell ref="M12:N12"/>
    <mergeCell ref="M11:N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2026-03-16T06:34:16Z</dcterms:created>
  <dcterms:modified xsi:type="dcterms:W3CDTF">2026-03-16T07:50:03Z</dcterms:modified>
  <cp:category/>
  <cp:contentStatus/>
</cp:coreProperties>
</file>